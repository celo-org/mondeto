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Cycle_Economics" sheetId="3" state="visible" r:id="rId5"/>
    <sheet name="Halving_Bottleneck" sheetId="4" state="visible" r:id="rId6"/>
    <sheet name="Revenue_Grid" sheetId="5" state="visible" r:id="rId7"/>
    <sheet name="Launch_Spike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<sst xmlns="http://schemas.openxmlformats.org/spreadsheetml/2006/main" count="174" uniqueCount="171">
  <si>
    <t xml:space="preserve">Mondeto tokenomics v2 — sharded identical maps, natural demand cap</t>
  </si>
  <si>
    <t xml:space="preserve">Lena · DevRel Lead, Celo Core Co · May 15, 2026</t>
  </si>
  <si>
    <t xml:space="preserve">WHAT CHANGED FROM v1</t>
  </si>
  <si>
    <t xml:space="preserve">- No contract change. The ~$7 (hard ~$10) ceiling is a NATURAL demand cap, not coded - buyers skip a pixel once it gets that pricey.</t>
  </si>
  <si>
    <t xml:space="preserve">- No country maps, no Self Protocol gating. Several identical 170x100 world maps. Users free-pick from a list.</t>
  </si>
  <si>
    <t xml:space="preserve">- Fee math corrected: v1 used $50/pixel (whale WtP). At a $7 natural cap the average sale is ~$1, so revenue is ~10x lower.</t>
  </si>
  <si>
    <t xml:space="preserve">THE MECHANIC, STATED PRECISELY</t>
  </si>
  <si>
    <t xml:space="preserve">- Sale #n costs initialPrice x 2^(n-1). Sale 1 = $0.003, sale 12 = $6.14, sale 13 = $12.29 (over $10 -&gt; demand stops).</t>
  </si>
  <si>
    <t xml:space="preserve">- A pixel takes ~12 sales to climb from $0.003 to its natural cap. That is one CYCLE.</t>
  </si>
  <si>
    <t xml:space="preserve">- Volume per cycle is FIXED: 0.003 x (2^12 - 1) = $12.29, regardless of how fast it happens.</t>
  </si>
  <si>
    <t xml:space="preserve">- After the cap the pixel is dormant. Halving (30-day half-life) is the ONLY thing that makes it buyable again.</t>
  </si>
  <si>
    <t xml:space="preserve">THE KEY FINDING</t>
  </si>
  <si>
    <t xml:space="preserve">- Recovering a capped pixel from ~$6 to ~$0.10 takes ~6 halvings ~ 180 days at the current 30-day setting.</t>
  </si>
  <si>
    <t xml:space="preserve">- So a map earns most of its fees in an opening burst, then goes largely dormant for ~6 months.</t>
  </si>
  <si>
    <t xml:space="preserve">- Sustained revenue needs EITHER a shorter halving period OR a steady cadence of new map deployments.</t>
  </si>
  <si>
    <t xml:space="preserve">HOW TO USE</t>
  </si>
  <si>
    <t xml:space="preserve">1. Inputs - all blue cells tunable. Big unknown is 'share of DAU who buy daily'.</t>
  </si>
  <si>
    <t xml:space="preserve">2. Cycle_Economics - the fixed per-cycle volume math.</t>
  </si>
  <si>
    <t xml:space="preserve">3. Halving_Bottleneck - why maps go dormant; how the halving period changes everything.</t>
  </si>
  <si>
    <t xml:space="preserve">4. Revenue_Grid - monthly fees across buyer share x number of maps.</t>
  </si>
  <si>
    <t xml:space="preserve">5. Launch_Spike - maps needed to survive a 100k day-1 launch under the natural cap.</t>
  </si>
  <si>
    <t xml:space="preserve">6. Summary - the recommendation.</t>
  </si>
  <si>
    <t xml:space="preserve">Inputs &amp; Assumptions</t>
  </si>
  <si>
    <t xml:space="preserve">CONTRACT (fixed - no changes)</t>
  </si>
  <si>
    <t xml:space="preserve">Initial pixel price (USDT)</t>
  </si>
  <si>
    <t xml:space="preserve">Sale 1 price. Doubles each subsequent sale.</t>
  </si>
  <si>
    <t xml:space="preserve">Halving half-life (days)</t>
  </si>
  <si>
    <t xml:space="preserve">Price halves every 30 days unsold. KEY LEVER.</t>
  </si>
  <si>
    <t xml:space="preserve">Map width (cells)</t>
  </si>
  <si>
    <t xml:space="preserve">Fixed - cannot change per your constraint.</t>
  </si>
  <si>
    <t xml:space="preserve">Map height (cells)</t>
  </si>
  <si>
    <t xml:space="preserve">Fixed.</t>
  </si>
  <si>
    <t xml:space="preserve">Land fraction</t>
  </si>
  <si>
    <t xml:space="preserve">~70% of grid sellable (water excluded).</t>
  </si>
  <si>
    <t xml:space="preserve">NATURAL DEMAND CAP</t>
  </si>
  <si>
    <t xml:space="preserve">Natural cap - soft ($)</t>
  </si>
  <si>
    <t xml:space="preserve">Most buyers walk away above this.</t>
  </si>
  <si>
    <t xml:space="preserve">Natural cap - hard ($)</t>
  </si>
  <si>
    <t xml:space="preserve">Almost nobody pays above this.</t>
  </si>
  <si>
    <t xml:space="preserve">DEMAND</t>
  </si>
  <si>
    <t xml:space="preserve">Target DAU</t>
  </si>
  <si>
    <t xml:space="preserve">App daily actives (most just look).</t>
  </si>
  <si>
    <t xml:space="preserve">Share of DAU who BUY daily</t>
  </si>
  <si>
    <t xml:space="preserve">THE big unknown. See Revenue_Grid for full range.</t>
  </si>
  <si>
    <t xml:space="preserve">Pixels bought per buyer per day</t>
  </si>
  <si>
    <t xml:space="preserve">Among users who do buy.</t>
  </si>
  <si>
    <t xml:space="preserve">Day-1 launch users</t>
  </si>
  <si>
    <t xml:space="preserve">Launch-spike stress test.</t>
  </si>
  <si>
    <t xml:space="preserve">Day-1 pixels attempted per user</t>
  </si>
  <si>
    <t xml:space="preserve">Bidding pressure on day 1.</t>
  </si>
  <si>
    <t xml:space="preserve">Hotspot unevenness factor</t>
  </si>
  <si>
    <t xml:space="preserve">Demand clusters on good spots, not uniform. &gt;=1.</t>
  </si>
  <si>
    <t xml:space="preserve">POLICY LEVERS</t>
  </si>
  <si>
    <t xml:space="preserve">Fee rate (bps)</t>
  </si>
  <si>
    <t xml:space="preserve">500 = 5%. Launch here; 700 (7%) is the upper lever.</t>
  </si>
  <si>
    <t xml:space="preserve">Number of maps deployed</t>
  </si>
  <si>
    <t xml:space="preserve">Identical 170x100 maps. Each = a separate contract deploy.</t>
  </si>
  <si>
    <t xml:space="preserve">Marketing budget ($/mo)</t>
  </si>
  <si>
    <t xml:space="preserve">Recurring spend to be covered by fees.</t>
  </si>
  <si>
    <t xml:space="preserve">Cycle economics - the fixed per-pixel math</t>
  </si>
  <si>
    <t xml:space="preserve">A 'cycle' = a pixel climbing from $0.003 to its natural cap. Volume per cycle is fixed.</t>
  </si>
  <si>
    <t xml:space="preserve">Sales to reach soft cap (~$7)</t>
  </si>
  <si>
    <t xml:space="preserve">0.003 x 2^(n-1) &lt;= 7</t>
  </si>
  <si>
    <t xml:space="preserve">Sales to reach hard cap (~$10)</t>
  </si>
  <si>
    <t xml:space="preserve">0.003 x 2^(n-1) &lt;= 10</t>
  </si>
  <si>
    <t xml:space="preserve">Sales counted per cycle</t>
  </si>
  <si>
    <t xml:space="preserve">Use the soft cap - where demand really stops</t>
  </si>
  <si>
    <t xml:space="preserve">Price at last sale of cycle ($)</t>
  </si>
  <si>
    <t xml:space="preserve">Final, most expensive sale</t>
  </si>
  <si>
    <t xml:space="preserve">VOLUME PER CYCLE ($)</t>
  </si>
  <si>
    <t xml:space="preserve">Geometric sum 0.003 x (2^n - 1). FIXED.</t>
  </si>
  <si>
    <t xml:space="preserve">Avg sale price in a cycle ($)</t>
  </si>
  <si>
    <t xml:space="preserve">Cycle volume / sales. ~$1 - the real number.</t>
  </si>
  <si>
    <t xml:space="preserve">Fee per cycle @ current rate ($)</t>
  </si>
  <si>
    <t xml:space="preserve">Platform earnings per completed cycle</t>
  </si>
  <si>
    <t xml:space="preserve">Map land pixels (per map)</t>
  </si>
  <si>
    <t xml:space="preserve">Fixed map capacity</t>
  </si>
  <si>
    <t xml:space="preserve">Total pixels (all maps)</t>
  </si>
  <si>
    <t xml:space="preserve">Across all deployed maps</t>
  </si>
  <si>
    <t xml:space="preserve">Max volume if every pixel cycles once ($)</t>
  </si>
  <si>
    <t xml:space="preserve">One full sweep of all maps</t>
  </si>
  <si>
    <t xml:space="preserve">  fees from one full sweep ($)</t>
  </si>
  <si>
    <t xml:space="preserve">One-time-ish; then halving bottleneck</t>
  </si>
  <si>
    <t xml:space="preserve">The halving bottleneck - why maps go dormant</t>
  </si>
  <si>
    <t xml:space="preserve">After a pixel hits the cap, only halving makes it cheap again. At 30-day half-life that is slow.</t>
  </si>
  <si>
    <t xml:space="preserve">Price at cap ($)</t>
  </si>
  <si>
    <t xml:space="preserve">Where the pixel parks</t>
  </si>
  <si>
    <t xml:space="preserve">'Attractive again' price ($)</t>
  </si>
  <si>
    <t xml:space="preserve">Price at which buyers re-engage (tunable)</t>
  </si>
  <si>
    <t xml:space="preserve">Halvings needed to recover</t>
  </si>
  <si>
    <t xml:space="preserve">log2(cap / attractive)</t>
  </si>
  <si>
    <t xml:space="preserve">Recovery time (days)</t>
  </si>
  <si>
    <t xml:space="preserve">Halvings x half-life - the dormant stretch</t>
  </si>
  <si>
    <t xml:space="preserve">Full cycle length (days)</t>
  </si>
  <si>
    <t xml:space="preserve">Recovery dominates; ramp-up is fast</t>
  </si>
  <si>
    <t xml:space="preserve">Cycles per pixel per month</t>
  </si>
  <si>
    <t xml:space="preserve">30 / cycle length</t>
  </si>
  <si>
    <t xml:space="preserve">Sustainable cycles/map/month</t>
  </si>
  <si>
    <t xml:space="preserve">Pixels x cycles each</t>
  </si>
  <si>
    <t xml:space="preserve">Sustainable fees/map/month ($)</t>
  </si>
  <si>
    <t xml:space="preserve">Mature-map steady state</t>
  </si>
  <si>
    <t xml:space="preserve">SENSITIVITY - halving half-life vs sustainable fees per map per month</t>
  </si>
  <si>
    <t xml:space="preserve">Read: halving the half-life roughly doubles sustainable revenue per map (faster recycling).</t>
  </si>
  <si>
    <t xml:space="preserve">Revenue grid - monthly fees vs buyer share x number of maps</t>
  </si>
  <si>
    <t xml:space="preserve">Demand-driven, capped by map supply. Green = covers $15k/mo. Fee rate from Inputs (5%).</t>
  </si>
  <si>
    <t xml:space="preserve">Monthly purchases = DAU x buyer share x pixels/buyer x 30</t>
  </si>
  <si>
    <t xml:space="preserve">Monthly fees = MIN(demand cycles, supply cycles) x volume-per-cycle x fee rate</t>
  </si>
  <si>
    <t xml:space="preserve">Buyer share v / # maps &gt;</t>
  </si>
  <si>
    <t xml:space="preserve">0.5% of DAU</t>
  </si>
  <si>
    <t xml:space="preserve">1.0% of DAU</t>
  </si>
  <si>
    <t xml:space="preserve">2.0% of DAU</t>
  </si>
  <si>
    <t xml:space="preserve">3.0% of DAU</t>
  </si>
  <si>
    <t xml:space="preserve">5.0% of DAU</t>
  </si>
  <si>
    <t xml:space="preserve">8.0% of DAU</t>
  </si>
  <si>
    <t xml:space="preserve">10.0% of DAU</t>
  </si>
  <si>
    <t xml:space="preserve">Where green starts is your answer. A flat low number across the high-map columns means</t>
  </si>
  <si>
    <t xml:space="preserve">demand (not capacity) is the limit there - adding maps won't help.</t>
  </si>
  <si>
    <t xml:space="preserve">Launch spike - maps needed to survive day 1 under the natural cap</t>
  </si>
  <si>
    <t xml:space="preserve">On day 1 all pixels are fresh, so halving is irrelevant - it's pure capacity vs demand.</t>
  </si>
  <si>
    <t xml:space="preserve">Day-1 purchase attempts</t>
  </si>
  <si>
    <t xml:space="preserve">Users x pixels each</t>
  </si>
  <si>
    <t xml:space="preserve">Cycles those attempts represent</t>
  </si>
  <si>
    <t xml:space="preserve">/ sales per cycle</t>
  </si>
  <si>
    <t xml:space="preserve">Pixels needed (even spread)</t>
  </si>
  <si>
    <t xml:space="preserve">1 cycle ~ 1 pixel maxed on day 1</t>
  </si>
  <si>
    <t xml:space="preserve">Pixels needed (with hotspotting)</t>
  </si>
  <si>
    <t xml:space="preserve">Demand clusters on good spots</t>
  </si>
  <si>
    <t xml:space="preserve">Maps needed for safe launch</t>
  </si>
  <si>
    <t xml:space="preserve">Keeps popular pixels under cap on day 1</t>
  </si>
  <si>
    <t xml:space="preserve">Maps currently planned</t>
  </si>
  <si>
    <t xml:space="preserve">From Inputs</t>
  </si>
  <si>
    <t xml:space="preserve">Launch verdict</t>
  </si>
  <si>
    <t xml:space="preserve">Summary &amp; Recommendations</t>
  </si>
  <si>
    <t xml:space="preserve">THE NUMBERS</t>
  </si>
  <si>
    <t xml:space="preserve">Sales per pixel per cycle</t>
  </si>
  <si>
    <t xml:space="preserve">$0.003 -&gt; ~$6 in ~12 doublings</t>
  </si>
  <si>
    <t xml:space="preserve">Volume per cycle ($)</t>
  </si>
  <si>
    <t xml:space="preserve">FIXED by the doubling math</t>
  </si>
  <si>
    <t xml:space="preserve">Avg sale price ($)</t>
  </si>
  <si>
    <t xml:space="preserve">Why v1's $50 was wrong - it's ~$1</t>
  </si>
  <si>
    <t xml:space="preserve">Pixel recovery time (days)</t>
  </si>
  <si>
    <t xml:space="preserve">Dormant stretch after a pixel caps</t>
  </si>
  <si>
    <t xml:space="preserve">Sustainable fees/map/mo ($)</t>
  </si>
  <si>
    <t xml:space="preserve">Mature-map steady state, current settings</t>
  </si>
  <si>
    <t xml:space="preserve">Maps to survive 100k launch</t>
  </si>
  <si>
    <t xml:space="preserve">Day-1 capacity requirement</t>
  </si>
  <si>
    <t xml:space="preserve">RECOMMENDATIONS</t>
  </si>
  <si>
    <t xml:space="preserve">1. Keep natural cap</t>
  </si>
  <si>
    <t xml:space="preserve">No contract change</t>
  </si>
  <si>
    <t xml:space="preserve">Demand dies ~$7. Whoever overpays, their call - internal assumption.</t>
  </si>
  <si>
    <t xml:space="preserve">2. Launch map count</t>
  </si>
  <si>
    <t xml:space="preserve">~6 identical maps</t>
  </si>
  <si>
    <t xml:space="preserve">Absorbs the 100k day-1 spike so pixels don't blow past cap on day 1.</t>
  </si>
  <si>
    <t xml:space="preserve">3. Halving period</t>
  </si>
  <si>
    <t xml:space="preserve">Shorten 30 -&gt; 14 days</t>
  </si>
  <si>
    <t xml:space="preserve">Biggest lever. At 30d maps sleep ~6mo after saturating. 14d ~halves maps needed.</t>
  </si>
  <si>
    <t xml:space="preserve">4. Fee rate</t>
  </si>
  <si>
    <t xml:space="preserve">5% now, 7% as lever</t>
  </si>
  <si>
    <t xml:space="preserve">Make feeRate admin-settable (already flagged) so 5-&gt;7 is one tx, not a redeploy.</t>
  </si>
  <si>
    <t xml:space="preserve">5. Map deploy cadence</t>
  </si>
  <si>
    <t xml:space="preserve">1-2 new maps / month</t>
  </si>
  <si>
    <t xml:space="preserve">Fresh maps = cheap pixels = the only sustained revenue while halving is slow.</t>
  </si>
  <si>
    <t xml:space="preserve">6. User distribution</t>
  </si>
  <si>
    <t xml:space="preserve">Free pick + fill meter</t>
  </si>
  <si>
    <t xml:space="preserve">Show each map's fill % and live activity; open a new map only when current set saturates.</t>
  </si>
  <si>
    <t xml:space="preserve">7. Initial price</t>
  </si>
  <si>
    <t xml:space="preserve">Keep $0.003</t>
  </si>
  <si>
    <t xml:space="preserve">12 doublings to cap is a good cycle length. Don't touch.</t>
  </si>
  <si>
    <t xml:space="preserve">8. Ground in real data</t>
  </si>
  <si>
    <t xml:space="preserve">Pull contract events</t>
  </si>
  <si>
    <t xml:space="preserve">Replace 'buyer share' guess with observed buyers/day from the live contract.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</si>
</sst>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"/>
    <numFmt numFmtId="167" formatCode="0.0%;\(0.0%\);\-"/>
    <numFmt numFmtId="168" formatCode="#,##0;\(#,##0\);\-"/>
    <numFmt numFmtId="169" formatCode="#,##0.0;\(#,##0.0\);\-"/>
    <numFmt numFmtId="170" formatCode="\$#,##0;&quot;($&quot;#,##0\);\-"/>
    <numFmt numFmtId="171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E2EFDA"/>
      </patternFill>
    </fill>
    <fill>
      <patternFill patternType="solid">
        <fgColor rgb="FFFFF4CC"/>
        <bgColor rgb="FFE2EFDA"/>
      </patternFill>
    </fill>
    <fill>
      <patternFill patternType="solid">
        <fgColor rgb="FFE2EFDA"/>
        <bgColor rgb="FFDE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11"/>
      </font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5" customFormat="false" ht="15" hidden="false" customHeight="false" outlineLevel="0" collapsed="false">
      <c r="A25" s="0" t="s">
        <v>20</v>
      </c>
    </row>
    <row r="26" customFormat="false" ht="15" hidden="false" customHeight="false" outlineLevel="0" collapsed="false">
      <c r="A26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3" t="s">
        <v>23</v>
      </c>
      <c r="C3" s="4"/>
    </row>
    <row r="4" customFormat="false" ht="15" hidden="false" customHeight="false" outlineLevel="0" collapsed="false">
      <c r="A4" s="0" t="s">
        <v>24</v>
      </c>
      <c r="B4" s="5" t="n">
        <v>0.003</v>
      </c>
      <c r="C4" s="2" t="s">
        <v>25</v>
      </c>
    </row>
    <row r="5" customFormat="false" ht="15" hidden="false" customHeight="false" outlineLevel="0" collapsed="false">
      <c r="A5" s="0" t="s">
        <v>26</v>
      </c>
      <c r="B5" s="6" t="n">
        <v>30</v>
      </c>
      <c r="C5" s="2" t="s">
        <v>27</v>
      </c>
    </row>
    <row r="6" customFormat="false" ht="15" hidden="false" customHeight="false" outlineLevel="0" collapsed="false">
      <c r="A6" s="0" t="s">
        <v>28</v>
      </c>
      <c r="B6" s="6" t="n">
        <v>170</v>
      </c>
      <c r="C6" s="2" t="s">
        <v>29</v>
      </c>
    </row>
    <row r="7" customFormat="false" ht="15" hidden="false" customHeight="false" outlineLevel="0" collapsed="false">
      <c r="A7" s="0" t="s">
        <v>30</v>
      </c>
      <c r="B7" s="6" t="n">
        <v>100</v>
      </c>
      <c r="C7" s="2" t="s">
        <v>31</v>
      </c>
    </row>
    <row r="8" customFormat="false" ht="15" hidden="false" customHeight="false" outlineLevel="0" collapsed="false">
      <c r="A8" s="0" t="s">
        <v>32</v>
      </c>
      <c r="B8" s="7" t="n">
        <v>0.7</v>
      </c>
      <c r="C8" s="2" t="s">
        <v>33</v>
      </c>
    </row>
    <row r="10" customFormat="false" ht="15" hidden="false" customHeight="false" outlineLevel="0" collapsed="false">
      <c r="A10" s="3" t="s">
        <v>34</v>
      </c>
      <c r="C10" s="4"/>
    </row>
    <row r="11" customFormat="false" ht="15" hidden="false" customHeight="false" outlineLevel="0" collapsed="false">
      <c r="A11" s="0" t="s">
        <v>35</v>
      </c>
      <c r="B11" s="5" t="n">
        <v>7</v>
      </c>
      <c r="C11" s="2" t="s">
        <v>36</v>
      </c>
    </row>
    <row r="12" customFormat="false" ht="15" hidden="false" customHeight="false" outlineLevel="0" collapsed="false">
      <c r="A12" s="0" t="s">
        <v>37</v>
      </c>
      <c r="B12" s="5" t="n">
        <v>10</v>
      </c>
      <c r="C12" s="2" t="s">
        <v>38</v>
      </c>
    </row>
    <row r="14" customFormat="false" ht="15" hidden="false" customHeight="false" outlineLevel="0" collapsed="false">
      <c r="A14" s="3" t="s">
        <v>39</v>
      </c>
      <c r="C14" s="4"/>
    </row>
    <row r="15" customFormat="false" ht="15" hidden="false" customHeight="false" outlineLevel="0" collapsed="false">
      <c r="A15" s="0" t="s">
        <v>40</v>
      </c>
      <c r="B15" s="8" t="n">
        <v>100000</v>
      </c>
      <c r="C15" s="2" t="s">
        <v>41</v>
      </c>
    </row>
    <row r="16" customFormat="false" ht="15" hidden="false" customHeight="false" outlineLevel="0" collapsed="false">
      <c r="A16" s="0" t="s">
        <v>42</v>
      </c>
      <c r="B16" s="7" t="n">
        <v>0.05</v>
      </c>
      <c r="C16" s="2" t="s">
        <v>43</v>
      </c>
    </row>
    <row r="17" customFormat="false" ht="15" hidden="false" customHeight="false" outlineLevel="0" collapsed="false">
      <c r="A17" s="0" t="s">
        <v>44</v>
      </c>
      <c r="B17" s="6" t="n">
        <v>2</v>
      </c>
      <c r="C17" s="2" t="s">
        <v>45</v>
      </c>
    </row>
    <row r="18" customFormat="false" ht="15" hidden="false" customHeight="false" outlineLevel="0" collapsed="false">
      <c r="A18" s="0" t="s">
        <v>46</v>
      </c>
      <c r="B18" s="8" t="n">
        <v>100000</v>
      </c>
      <c r="C18" s="2" t="s">
        <v>47</v>
      </c>
    </row>
    <row r="19" customFormat="false" ht="15" hidden="false" customHeight="false" outlineLevel="0" collapsed="false">
      <c r="A19" s="0" t="s">
        <v>48</v>
      </c>
      <c r="B19" s="6" t="n">
        <v>3</v>
      </c>
      <c r="C19" s="2" t="s">
        <v>49</v>
      </c>
    </row>
    <row r="20" customFormat="false" ht="15" hidden="false" customHeight="false" outlineLevel="0" collapsed="false">
      <c r="A20" s="0" t="s">
        <v>50</v>
      </c>
      <c r="B20" s="9" t="n">
        <v>2.5</v>
      </c>
      <c r="C20" s="2" t="s">
        <v>51</v>
      </c>
    </row>
    <row r="22" customFormat="false" ht="15" hidden="false" customHeight="false" outlineLevel="0" collapsed="false">
      <c r="A22" s="3" t="s">
        <v>52</v>
      </c>
      <c r="C22" s="4"/>
    </row>
    <row r="23" customFormat="false" ht="15" hidden="false" customHeight="false" outlineLevel="0" collapsed="false">
      <c r="A23" s="0" t="s">
        <v>53</v>
      </c>
      <c r="B23" s="6" t="n">
        <v>500</v>
      </c>
      <c r="C23" s="2" t="s">
        <v>54</v>
      </c>
    </row>
    <row r="24" customFormat="false" ht="15" hidden="false" customHeight="false" outlineLevel="0" collapsed="false">
      <c r="A24" s="0" t="s">
        <v>55</v>
      </c>
      <c r="B24" s="6" t="n">
        <v>6</v>
      </c>
      <c r="C24" s="2" t="s">
        <v>56</v>
      </c>
    </row>
    <row r="25" customFormat="false" ht="15" hidden="false" customHeight="false" outlineLevel="0" collapsed="false">
      <c r="A25" s="0" t="s">
        <v>57</v>
      </c>
      <c r="B25" s="10" t="n">
        <v>15000</v>
      </c>
      <c r="C25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0" t="s">
        <v>61</v>
      </c>
      <c r="B4" s="11" t="n">
        <f aca="false">FLOOR(LOG(Inputs!$B$11/Inputs!$B$4,2),1)+1</f>
        <v>12</v>
      </c>
      <c r="C4" s="2" t="s">
        <v>62</v>
      </c>
    </row>
    <row r="5" customFormat="false" ht="15" hidden="false" customHeight="false" outlineLevel="0" collapsed="false">
      <c r="A5" s="0" t="s">
        <v>63</v>
      </c>
      <c r="B5" s="11" t="n">
        <f aca="false">FLOOR(LOG(Inputs!$B$12/Inputs!$B$4,2),1)+1</f>
        <v>12</v>
      </c>
      <c r="C5" s="2" t="s">
        <v>64</v>
      </c>
    </row>
    <row r="6" customFormat="false" ht="15" hidden="false" customHeight="false" outlineLevel="0" collapsed="false">
      <c r="A6" s="0" t="s">
        <v>65</v>
      </c>
      <c r="B6" s="12" t="n">
        <f aca="false">B4</f>
        <v>12</v>
      </c>
      <c r="C6" s="2" t="s">
        <v>66</v>
      </c>
    </row>
    <row r="7" customFormat="false" ht="15" hidden="false" customHeight="false" outlineLevel="0" collapsed="false">
      <c r="A7" s="0" t="s">
        <v>67</v>
      </c>
      <c r="B7" s="13" t="n">
        <f aca="false">Inputs!$B$4*2^(B6-1)</f>
        <v>6.144</v>
      </c>
      <c r="C7" s="2" t="s">
        <v>68</v>
      </c>
    </row>
    <row r="8" customFormat="false" ht="15" hidden="false" customHeight="false" outlineLevel="0" collapsed="false">
      <c r="A8" s="14" t="s">
        <v>69</v>
      </c>
      <c r="B8" s="15" t="n">
        <f aca="false">Inputs!$B$4*(2^B6-1)</f>
        <v>12.285</v>
      </c>
      <c r="C8" s="2" t="s">
        <v>70</v>
      </c>
    </row>
    <row r="9" customFormat="false" ht="15" hidden="false" customHeight="false" outlineLevel="0" collapsed="false">
      <c r="A9" s="0" t="s">
        <v>71</v>
      </c>
      <c r="B9" s="16" t="n">
        <f aca="false">B8/B6</f>
        <v>1.02375</v>
      </c>
      <c r="C9" s="2" t="s">
        <v>72</v>
      </c>
    </row>
    <row r="10" customFormat="false" ht="15" hidden="false" customHeight="false" outlineLevel="0" collapsed="false">
      <c r="A10" s="0" t="s">
        <v>73</v>
      </c>
      <c r="B10" s="13" t="n">
        <f aca="false">B8*(Inputs!$B$23/10000)</f>
        <v>0.61425</v>
      </c>
      <c r="C10" s="2" t="s">
        <v>74</v>
      </c>
    </row>
    <row r="11" customFormat="false" ht="15" hidden="false" customHeight="false" outlineLevel="0" collapsed="false">
      <c r="A11" s="0" t="s">
        <v>75</v>
      </c>
      <c r="B11" s="11" t="n">
        <f aca="false">Inputs!$B$6*Inputs!$B$7*Inputs!$B$8</f>
        <v>11900</v>
      </c>
      <c r="C11" s="2" t="s">
        <v>76</v>
      </c>
    </row>
    <row r="12" customFormat="false" ht="15" hidden="false" customHeight="false" outlineLevel="0" collapsed="false">
      <c r="A12" s="0" t="s">
        <v>77</v>
      </c>
      <c r="B12" s="11" t="n">
        <f aca="false">B11*Inputs!$B$24</f>
        <v>71400</v>
      </c>
      <c r="C12" s="2" t="s">
        <v>78</v>
      </c>
    </row>
    <row r="13" customFormat="false" ht="15" hidden="false" customHeight="false" outlineLevel="0" collapsed="false">
      <c r="A13" s="0" t="s">
        <v>79</v>
      </c>
      <c r="B13" s="17" t="n">
        <f aca="false">B8*B12</f>
        <v>877149</v>
      </c>
      <c r="C13" s="2" t="s">
        <v>80</v>
      </c>
    </row>
    <row r="14" customFormat="false" ht="15" hidden="false" customHeight="false" outlineLevel="0" collapsed="false">
      <c r="A14" s="0" t="s">
        <v>81</v>
      </c>
      <c r="B14" s="18" t="n">
        <f aca="false">B13*(Inputs!$B$23/10000)</f>
        <v>43857.45</v>
      </c>
      <c r="C14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0" t="s">
        <v>85</v>
      </c>
      <c r="B4" s="13" t="n">
        <f aca="false">Inputs!$B$4*2^(Cycle_Economics!$B$6-1)</f>
        <v>6.144</v>
      </c>
      <c r="C4" s="2" t="s">
        <v>86</v>
      </c>
    </row>
    <row r="5" customFormat="false" ht="15" hidden="false" customHeight="false" outlineLevel="0" collapsed="false">
      <c r="A5" s="0" t="s">
        <v>87</v>
      </c>
      <c r="B5" s="5" t="n">
        <v>0.1</v>
      </c>
      <c r="C5" s="2" t="s">
        <v>88</v>
      </c>
    </row>
    <row r="6" customFormat="false" ht="15" hidden="false" customHeight="false" outlineLevel="0" collapsed="false">
      <c r="A6" s="0" t="s">
        <v>89</v>
      </c>
      <c r="B6" s="19" t="n">
        <f aca="false">LOG(B4/B5,2)</f>
        <v>5.94110631094643</v>
      </c>
      <c r="C6" s="2" t="s">
        <v>90</v>
      </c>
    </row>
    <row r="7" customFormat="false" ht="15" hidden="false" customHeight="false" outlineLevel="0" collapsed="false">
      <c r="A7" s="0" t="s">
        <v>91</v>
      </c>
      <c r="B7" s="11" t="n">
        <f aca="false">B6*Inputs!$B$5</f>
        <v>178.233189328393</v>
      </c>
      <c r="C7" s="2" t="s">
        <v>92</v>
      </c>
    </row>
    <row r="8" customFormat="false" ht="15" hidden="false" customHeight="false" outlineLevel="0" collapsed="false">
      <c r="A8" s="0" t="s">
        <v>93</v>
      </c>
      <c r="B8" s="12" t="n">
        <f aca="false">B7</f>
        <v>178.233189328393</v>
      </c>
      <c r="C8" s="2" t="s">
        <v>94</v>
      </c>
    </row>
    <row r="9" customFormat="false" ht="15" hidden="false" customHeight="false" outlineLevel="0" collapsed="false">
      <c r="A9" s="0" t="s">
        <v>95</v>
      </c>
      <c r="B9" s="20" t="n">
        <f aca="false">30/B8</f>
        <v>0.16831881936829</v>
      </c>
      <c r="C9" s="2" t="s">
        <v>96</v>
      </c>
    </row>
    <row r="10" customFormat="false" ht="15" hidden="false" customHeight="false" outlineLevel="0" collapsed="false">
      <c r="A10" s="0" t="s">
        <v>97</v>
      </c>
      <c r="B10" s="12" t="n">
        <f aca="false">Cycle_Economics!$B$11*B9</f>
        <v>2002.99395048265</v>
      </c>
      <c r="C10" s="2" t="s">
        <v>98</v>
      </c>
    </row>
    <row r="11" customFormat="false" ht="15" hidden="false" customHeight="false" outlineLevel="0" collapsed="false">
      <c r="A11" s="0" t="s">
        <v>99</v>
      </c>
      <c r="B11" s="18" t="n">
        <f aca="false">B10*Cycle_Economics!$B$8*(Inputs!$B$23/10000)</f>
        <v>1230.33903408397</v>
      </c>
      <c r="C11" s="2" t="s">
        <v>100</v>
      </c>
    </row>
    <row r="14" customFormat="false" ht="15" hidden="false" customHeight="false" outlineLevel="0" collapsed="false">
      <c r="A14" s="3" t="s">
        <v>101</v>
      </c>
    </row>
    <row r="16" customFormat="false" ht="15" hidden="false" customHeight="false" outlineLevel="0" collapsed="false">
      <c r="A16" s="14" t="s">
        <v>26</v>
      </c>
      <c r="B16" s="21" t="n">
        <v>7</v>
      </c>
      <c r="C16" s="21" t="n">
        <v>14</v>
      </c>
      <c r="D16" s="21" t="n">
        <v>21</v>
      </c>
      <c r="E16" s="21" t="n">
        <v>30</v>
      </c>
      <c r="F16" s="21" t="n">
        <v>45</v>
      </c>
      <c r="G16" s="21" t="n">
        <v>60</v>
      </c>
    </row>
    <row r="17" customFormat="false" ht="15" hidden="false" customHeight="false" outlineLevel="0" collapsed="false">
      <c r="A17" s="0" t="s">
        <v>99</v>
      </c>
      <c r="B17" s="17" t="n">
        <f aca="false">Cycle_Economics!$B$11*(30/(LOG(B4/B5,2)*7))*Cycle_Economics!$B$8*(Inputs!$B$23/10000)</f>
        <v>5272.88157464558</v>
      </c>
      <c r="C17" s="17" t="n">
        <f aca="false">Cycle_Economics!$B$11*(30/(LOG(B4/B5,2)*14))*Cycle_Economics!$B$8*(Inputs!$B$23/10000)</f>
        <v>2636.44078732279</v>
      </c>
      <c r="D17" s="17" t="n">
        <f aca="false">Cycle_Economics!$B$11*(30/(LOG(B4/B5,2)*21))*Cycle_Economics!$B$8*(Inputs!$B$23/10000)</f>
        <v>1757.62719154853</v>
      </c>
      <c r="E17" s="17" t="n">
        <f aca="false">Cycle_Economics!$B$11*(30/(LOG(B4/B5,2)*30))*Cycle_Economics!$B$8*(Inputs!$B$23/10000)</f>
        <v>1230.33903408397</v>
      </c>
      <c r="F17" s="17" t="n">
        <f aca="false">Cycle_Economics!$B$11*(30/(LOG(B4/B5,2)*45))*Cycle_Economics!$B$8*(Inputs!$B$23/10000)</f>
        <v>820.226022722645</v>
      </c>
      <c r="G17" s="17" t="n">
        <f aca="false">Cycle_Economics!$B$11*(30/(LOG(B4/B5,2)*60))*Cycle_Economics!$B$8*(Inputs!$B$23/10000)</f>
        <v>615.169517041984</v>
      </c>
    </row>
    <row r="19" customFormat="false" ht="15" hidden="false" customHeight="false" outlineLevel="0" collapsed="false">
      <c r="A19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2" t="s">
        <v>105</v>
      </c>
    </row>
    <row r="5" customFormat="false" ht="15" hidden="false" customHeight="false" outlineLevel="0" collapsed="false">
      <c r="A5" s="2" t="s">
        <v>106</v>
      </c>
    </row>
    <row r="7" customFormat="false" ht="15" hidden="false" customHeight="false" outlineLevel="0" collapsed="false">
      <c r="A7" s="3" t="s">
        <v>107</v>
      </c>
      <c r="B7" s="22" t="n">
        <v>2</v>
      </c>
      <c r="C7" s="22" t="n">
        <v>4</v>
      </c>
      <c r="D7" s="22" t="n">
        <v>6</v>
      </c>
      <c r="E7" s="22" t="n">
        <v>8</v>
      </c>
      <c r="F7" s="22" t="n">
        <v>10</v>
      </c>
      <c r="G7" s="22" t="n">
        <v>15</v>
      </c>
      <c r="H7" s="22" t="n">
        <v>20</v>
      </c>
    </row>
    <row r="8" customFormat="false" ht="15" hidden="false" customHeight="false" outlineLevel="0" collapsed="false">
      <c r="A8" s="3" t="s">
        <v>108</v>
      </c>
      <c r="B8" s="17" t="n">
        <f aca="false">MIN((Inputs!$B$15*0.005*Inputs!$B$17*30)/Cycle_Economics!$B$6,Cycle_Economics!$B$11*2*Halving_Bottleneck!$B$9)*Cycle_Economics!$B$8*(Inputs!$B$23/10000)</f>
        <v>1535.625</v>
      </c>
      <c r="C8" s="17" t="n">
        <f aca="false">MIN((Inputs!$B$15*0.005*Inputs!$B$17*30)/Cycle_Economics!$B$6,Cycle_Economics!$B$11*4*Halving_Bottleneck!$B$9)*Cycle_Economics!$B$8*(Inputs!$B$23/10000)</f>
        <v>1535.625</v>
      </c>
      <c r="D8" s="17" t="n">
        <f aca="false">MIN((Inputs!$B$15*0.005*Inputs!$B$17*30)/Cycle_Economics!$B$6,Cycle_Economics!$B$11*6*Halving_Bottleneck!$B$9)*Cycle_Economics!$B$8*(Inputs!$B$23/10000)</f>
        <v>1535.625</v>
      </c>
      <c r="E8" s="17" t="n">
        <f aca="false">MIN((Inputs!$B$15*0.005*Inputs!$B$17*30)/Cycle_Economics!$B$6,Cycle_Economics!$B$11*8*Halving_Bottleneck!$B$9)*Cycle_Economics!$B$8*(Inputs!$B$23/10000)</f>
        <v>1535.625</v>
      </c>
      <c r="F8" s="17" t="n">
        <f aca="false">MIN((Inputs!$B$15*0.005*Inputs!$B$17*30)/Cycle_Economics!$B$6,Cycle_Economics!$B$11*10*Halving_Bottleneck!$B$9)*Cycle_Economics!$B$8*(Inputs!$B$23/10000)</f>
        <v>1535.625</v>
      </c>
      <c r="G8" s="17" t="n">
        <f aca="false">MIN((Inputs!$B$15*0.005*Inputs!$B$17*30)/Cycle_Economics!$B$6,Cycle_Economics!$B$11*15*Halving_Bottleneck!$B$9)*Cycle_Economics!$B$8*(Inputs!$B$23/10000)</f>
        <v>1535.625</v>
      </c>
      <c r="H8" s="17" t="n">
        <f aca="false">MIN((Inputs!$B$15*0.005*Inputs!$B$17*30)/Cycle_Economics!$B$6,Cycle_Economics!$B$11*20*Halving_Bottleneck!$B$9)*Cycle_Economics!$B$8*(Inputs!$B$23/10000)</f>
        <v>1535.625</v>
      </c>
    </row>
    <row r="9" customFormat="false" ht="15" hidden="false" customHeight="false" outlineLevel="0" collapsed="false">
      <c r="A9" s="3" t="s">
        <v>109</v>
      </c>
      <c r="B9" s="17" t="n">
        <f aca="false">MIN((Inputs!$B$15*0.01*Inputs!$B$17*30)/Cycle_Economics!$B$6,Cycle_Economics!$B$11*2*Halving_Bottleneck!$B$9)*Cycle_Economics!$B$8*(Inputs!$B$23/10000)</f>
        <v>2460.67806816794</v>
      </c>
      <c r="C9" s="17" t="n">
        <f aca="false">MIN((Inputs!$B$15*0.01*Inputs!$B$17*30)/Cycle_Economics!$B$6,Cycle_Economics!$B$11*4*Halving_Bottleneck!$B$9)*Cycle_Economics!$B$8*(Inputs!$B$23/10000)</f>
        <v>3071.25</v>
      </c>
      <c r="D9" s="17" t="n">
        <f aca="false">MIN((Inputs!$B$15*0.01*Inputs!$B$17*30)/Cycle_Economics!$B$6,Cycle_Economics!$B$11*6*Halving_Bottleneck!$B$9)*Cycle_Economics!$B$8*(Inputs!$B$23/10000)</f>
        <v>3071.25</v>
      </c>
      <c r="E9" s="17" t="n">
        <f aca="false">MIN((Inputs!$B$15*0.01*Inputs!$B$17*30)/Cycle_Economics!$B$6,Cycle_Economics!$B$11*8*Halving_Bottleneck!$B$9)*Cycle_Economics!$B$8*(Inputs!$B$23/10000)</f>
        <v>3071.25</v>
      </c>
      <c r="F9" s="17" t="n">
        <f aca="false">MIN((Inputs!$B$15*0.01*Inputs!$B$17*30)/Cycle_Economics!$B$6,Cycle_Economics!$B$11*10*Halving_Bottleneck!$B$9)*Cycle_Economics!$B$8*(Inputs!$B$23/10000)</f>
        <v>3071.25</v>
      </c>
      <c r="G9" s="17" t="n">
        <f aca="false">MIN((Inputs!$B$15*0.01*Inputs!$B$17*30)/Cycle_Economics!$B$6,Cycle_Economics!$B$11*15*Halving_Bottleneck!$B$9)*Cycle_Economics!$B$8*(Inputs!$B$23/10000)</f>
        <v>3071.25</v>
      </c>
      <c r="H9" s="17" t="n">
        <f aca="false">MIN((Inputs!$B$15*0.01*Inputs!$B$17*30)/Cycle_Economics!$B$6,Cycle_Economics!$B$11*20*Halving_Bottleneck!$B$9)*Cycle_Economics!$B$8*(Inputs!$B$23/10000)</f>
        <v>3071.25</v>
      </c>
    </row>
    <row r="10" customFormat="false" ht="15" hidden="false" customHeight="false" outlineLevel="0" collapsed="false">
      <c r="A10" s="3" t="s">
        <v>110</v>
      </c>
      <c r="B10" s="17" t="n">
        <f aca="false">MIN((Inputs!$B$15*0.02*Inputs!$B$17*30)/Cycle_Economics!$B$6,Cycle_Economics!$B$11*2*Halving_Bottleneck!$B$9)*Cycle_Economics!$B$8*(Inputs!$B$23/10000)</f>
        <v>2460.67806816794</v>
      </c>
      <c r="C10" s="17" t="n">
        <f aca="false">MIN((Inputs!$B$15*0.02*Inputs!$B$17*30)/Cycle_Economics!$B$6,Cycle_Economics!$B$11*4*Halving_Bottleneck!$B$9)*Cycle_Economics!$B$8*(Inputs!$B$23/10000)</f>
        <v>4921.35613633587</v>
      </c>
      <c r="D10" s="17" t="n">
        <f aca="false">MIN((Inputs!$B$15*0.02*Inputs!$B$17*30)/Cycle_Economics!$B$6,Cycle_Economics!$B$11*6*Halving_Bottleneck!$B$9)*Cycle_Economics!$B$8*(Inputs!$B$23/10000)</f>
        <v>6142.5</v>
      </c>
      <c r="E10" s="17" t="n">
        <f aca="false">MIN((Inputs!$B$15*0.02*Inputs!$B$17*30)/Cycle_Economics!$B$6,Cycle_Economics!$B$11*8*Halving_Bottleneck!$B$9)*Cycle_Economics!$B$8*(Inputs!$B$23/10000)</f>
        <v>6142.5</v>
      </c>
      <c r="F10" s="17" t="n">
        <f aca="false">MIN((Inputs!$B$15*0.02*Inputs!$B$17*30)/Cycle_Economics!$B$6,Cycle_Economics!$B$11*10*Halving_Bottleneck!$B$9)*Cycle_Economics!$B$8*(Inputs!$B$23/10000)</f>
        <v>6142.5</v>
      </c>
      <c r="G10" s="17" t="n">
        <f aca="false">MIN((Inputs!$B$15*0.02*Inputs!$B$17*30)/Cycle_Economics!$B$6,Cycle_Economics!$B$11*15*Halving_Bottleneck!$B$9)*Cycle_Economics!$B$8*(Inputs!$B$23/10000)</f>
        <v>6142.5</v>
      </c>
      <c r="H10" s="17" t="n">
        <f aca="false">MIN((Inputs!$B$15*0.02*Inputs!$B$17*30)/Cycle_Economics!$B$6,Cycle_Economics!$B$11*20*Halving_Bottleneck!$B$9)*Cycle_Economics!$B$8*(Inputs!$B$23/10000)</f>
        <v>6142.5</v>
      </c>
    </row>
    <row r="11" customFormat="false" ht="15" hidden="false" customHeight="false" outlineLevel="0" collapsed="false">
      <c r="A11" s="3" t="s">
        <v>111</v>
      </c>
      <c r="B11" s="17" t="n">
        <f aca="false">MIN((Inputs!$B$15*0.03*Inputs!$B$17*30)/Cycle_Economics!$B$6,Cycle_Economics!$B$11*2*Halving_Bottleneck!$B$9)*Cycle_Economics!$B$8*(Inputs!$B$23/10000)</f>
        <v>2460.67806816794</v>
      </c>
      <c r="C11" s="17" t="n">
        <f aca="false">MIN((Inputs!$B$15*0.03*Inputs!$B$17*30)/Cycle_Economics!$B$6,Cycle_Economics!$B$11*4*Halving_Bottleneck!$B$9)*Cycle_Economics!$B$8*(Inputs!$B$23/10000)</f>
        <v>4921.35613633587</v>
      </c>
      <c r="D11" s="17" t="n">
        <f aca="false">MIN((Inputs!$B$15*0.03*Inputs!$B$17*30)/Cycle_Economics!$B$6,Cycle_Economics!$B$11*6*Halving_Bottleneck!$B$9)*Cycle_Economics!$B$8*(Inputs!$B$23/10000)</f>
        <v>7382.03420450381</v>
      </c>
      <c r="E11" s="17" t="n">
        <f aca="false">MIN((Inputs!$B$15*0.03*Inputs!$B$17*30)/Cycle_Economics!$B$6,Cycle_Economics!$B$11*8*Halving_Bottleneck!$B$9)*Cycle_Economics!$B$8*(Inputs!$B$23/10000)</f>
        <v>9213.75</v>
      </c>
      <c r="F11" s="17" t="n">
        <f aca="false">MIN((Inputs!$B$15*0.03*Inputs!$B$17*30)/Cycle_Economics!$B$6,Cycle_Economics!$B$11*10*Halving_Bottleneck!$B$9)*Cycle_Economics!$B$8*(Inputs!$B$23/10000)</f>
        <v>9213.75</v>
      </c>
      <c r="G11" s="17" t="n">
        <f aca="false">MIN((Inputs!$B$15*0.03*Inputs!$B$17*30)/Cycle_Economics!$B$6,Cycle_Economics!$B$11*15*Halving_Bottleneck!$B$9)*Cycle_Economics!$B$8*(Inputs!$B$23/10000)</f>
        <v>9213.75</v>
      </c>
      <c r="H11" s="17" t="n">
        <f aca="false">MIN((Inputs!$B$15*0.03*Inputs!$B$17*30)/Cycle_Economics!$B$6,Cycle_Economics!$B$11*20*Halving_Bottleneck!$B$9)*Cycle_Economics!$B$8*(Inputs!$B$23/10000)</f>
        <v>9213.75</v>
      </c>
    </row>
    <row r="12" customFormat="false" ht="15" hidden="false" customHeight="false" outlineLevel="0" collapsed="false">
      <c r="A12" s="3" t="s">
        <v>112</v>
      </c>
      <c r="B12" s="17" t="n">
        <f aca="false">MIN((Inputs!$B$15*0.05*Inputs!$B$17*30)/Cycle_Economics!$B$6,Cycle_Economics!$B$11*2*Halving_Bottleneck!$B$9)*Cycle_Economics!$B$8*(Inputs!$B$23/10000)</f>
        <v>2460.67806816794</v>
      </c>
      <c r="C12" s="17" t="n">
        <f aca="false">MIN((Inputs!$B$15*0.05*Inputs!$B$17*30)/Cycle_Economics!$B$6,Cycle_Economics!$B$11*4*Halving_Bottleneck!$B$9)*Cycle_Economics!$B$8*(Inputs!$B$23/10000)</f>
        <v>4921.35613633587</v>
      </c>
      <c r="D12" s="17" t="n">
        <f aca="false">MIN((Inputs!$B$15*0.05*Inputs!$B$17*30)/Cycle_Economics!$B$6,Cycle_Economics!$B$11*6*Halving_Bottleneck!$B$9)*Cycle_Economics!$B$8*(Inputs!$B$23/10000)</f>
        <v>7382.03420450381</v>
      </c>
      <c r="E12" s="17" t="n">
        <f aca="false">MIN((Inputs!$B$15*0.05*Inputs!$B$17*30)/Cycle_Economics!$B$6,Cycle_Economics!$B$11*8*Halving_Bottleneck!$B$9)*Cycle_Economics!$B$8*(Inputs!$B$23/10000)</f>
        <v>9842.71227267175</v>
      </c>
      <c r="F12" s="17" t="n">
        <f aca="false">MIN((Inputs!$B$15*0.05*Inputs!$B$17*30)/Cycle_Economics!$B$6,Cycle_Economics!$B$11*10*Halving_Bottleneck!$B$9)*Cycle_Economics!$B$8*(Inputs!$B$23/10000)</f>
        <v>12303.3903408397</v>
      </c>
      <c r="G12" s="17" t="n">
        <f aca="false">MIN((Inputs!$B$15*0.05*Inputs!$B$17*30)/Cycle_Economics!$B$6,Cycle_Economics!$B$11*15*Halving_Bottleneck!$B$9)*Cycle_Economics!$B$8*(Inputs!$B$23/10000)</f>
        <v>15356.25</v>
      </c>
      <c r="H12" s="17" t="n">
        <f aca="false">MIN((Inputs!$B$15*0.05*Inputs!$B$17*30)/Cycle_Economics!$B$6,Cycle_Economics!$B$11*20*Halving_Bottleneck!$B$9)*Cycle_Economics!$B$8*(Inputs!$B$23/10000)</f>
        <v>15356.25</v>
      </c>
    </row>
    <row r="13" customFormat="false" ht="15" hidden="false" customHeight="false" outlineLevel="0" collapsed="false">
      <c r="A13" s="3" t="s">
        <v>113</v>
      </c>
      <c r="B13" s="17" t="n">
        <f aca="false">MIN((Inputs!$B$15*0.08*Inputs!$B$17*30)/Cycle_Economics!$B$6,Cycle_Economics!$B$11*2*Halving_Bottleneck!$B$9)*Cycle_Economics!$B$8*(Inputs!$B$23/10000)</f>
        <v>2460.67806816794</v>
      </c>
      <c r="C13" s="17" t="n">
        <f aca="false">MIN((Inputs!$B$15*0.08*Inputs!$B$17*30)/Cycle_Economics!$B$6,Cycle_Economics!$B$11*4*Halving_Bottleneck!$B$9)*Cycle_Economics!$B$8*(Inputs!$B$23/10000)</f>
        <v>4921.35613633587</v>
      </c>
      <c r="D13" s="17" t="n">
        <f aca="false">MIN((Inputs!$B$15*0.08*Inputs!$B$17*30)/Cycle_Economics!$B$6,Cycle_Economics!$B$11*6*Halving_Bottleneck!$B$9)*Cycle_Economics!$B$8*(Inputs!$B$23/10000)</f>
        <v>7382.03420450381</v>
      </c>
      <c r="E13" s="17" t="n">
        <f aca="false">MIN((Inputs!$B$15*0.08*Inputs!$B$17*30)/Cycle_Economics!$B$6,Cycle_Economics!$B$11*8*Halving_Bottleneck!$B$9)*Cycle_Economics!$B$8*(Inputs!$B$23/10000)</f>
        <v>9842.71227267175</v>
      </c>
      <c r="F13" s="17" t="n">
        <f aca="false">MIN((Inputs!$B$15*0.08*Inputs!$B$17*30)/Cycle_Economics!$B$6,Cycle_Economics!$B$11*10*Halving_Bottleneck!$B$9)*Cycle_Economics!$B$8*(Inputs!$B$23/10000)</f>
        <v>12303.3903408397</v>
      </c>
      <c r="G13" s="17" t="n">
        <f aca="false">MIN((Inputs!$B$15*0.08*Inputs!$B$17*30)/Cycle_Economics!$B$6,Cycle_Economics!$B$11*15*Halving_Bottleneck!$B$9)*Cycle_Economics!$B$8*(Inputs!$B$23/10000)</f>
        <v>18455.0855112595</v>
      </c>
      <c r="H13" s="17" t="n">
        <f aca="false">MIN((Inputs!$B$15*0.08*Inputs!$B$17*30)/Cycle_Economics!$B$6,Cycle_Economics!$B$11*20*Halving_Bottleneck!$B$9)*Cycle_Economics!$B$8*(Inputs!$B$23/10000)</f>
        <v>24570</v>
      </c>
    </row>
    <row r="14" customFormat="false" ht="15" hidden="false" customHeight="false" outlineLevel="0" collapsed="false">
      <c r="A14" s="3" t="s">
        <v>114</v>
      </c>
      <c r="B14" s="17" t="n">
        <f aca="false">MIN((Inputs!$B$15*0.1*Inputs!$B$17*30)/Cycle_Economics!$B$6,Cycle_Economics!$B$11*2*Halving_Bottleneck!$B$9)*Cycle_Economics!$B$8*(Inputs!$B$23/10000)</f>
        <v>2460.67806816794</v>
      </c>
      <c r="C14" s="17" t="n">
        <f aca="false">MIN((Inputs!$B$15*0.1*Inputs!$B$17*30)/Cycle_Economics!$B$6,Cycle_Economics!$B$11*4*Halving_Bottleneck!$B$9)*Cycle_Economics!$B$8*(Inputs!$B$23/10000)</f>
        <v>4921.35613633587</v>
      </c>
      <c r="D14" s="17" t="n">
        <f aca="false">MIN((Inputs!$B$15*0.1*Inputs!$B$17*30)/Cycle_Economics!$B$6,Cycle_Economics!$B$11*6*Halving_Bottleneck!$B$9)*Cycle_Economics!$B$8*(Inputs!$B$23/10000)</f>
        <v>7382.03420450381</v>
      </c>
      <c r="E14" s="17" t="n">
        <f aca="false">MIN((Inputs!$B$15*0.1*Inputs!$B$17*30)/Cycle_Economics!$B$6,Cycle_Economics!$B$11*8*Halving_Bottleneck!$B$9)*Cycle_Economics!$B$8*(Inputs!$B$23/10000)</f>
        <v>9842.71227267175</v>
      </c>
      <c r="F14" s="17" t="n">
        <f aca="false">MIN((Inputs!$B$15*0.1*Inputs!$B$17*30)/Cycle_Economics!$B$6,Cycle_Economics!$B$11*10*Halving_Bottleneck!$B$9)*Cycle_Economics!$B$8*(Inputs!$B$23/10000)</f>
        <v>12303.3903408397</v>
      </c>
      <c r="G14" s="17" t="n">
        <f aca="false">MIN((Inputs!$B$15*0.1*Inputs!$B$17*30)/Cycle_Economics!$B$6,Cycle_Economics!$B$11*15*Halving_Bottleneck!$B$9)*Cycle_Economics!$B$8*(Inputs!$B$23/10000)</f>
        <v>18455.0855112595</v>
      </c>
      <c r="H14" s="17" t="n">
        <f aca="false">MIN((Inputs!$B$15*0.1*Inputs!$B$17*30)/Cycle_Economics!$B$6,Cycle_Economics!$B$11*20*Halving_Bottleneck!$B$9)*Cycle_Economics!$B$8*(Inputs!$B$23/10000)</f>
        <v>24606.7806816794</v>
      </c>
    </row>
    <row r="17" customFormat="false" ht="15" hidden="false" customHeight="false" outlineLevel="0" collapsed="false">
      <c r="A17" s="2" t="s">
        <v>115</v>
      </c>
    </row>
    <row r="18" customFormat="false" ht="15" hidden="false" customHeight="false" outlineLevel="0" collapsed="false">
      <c r="A18" s="2" t="s">
        <v>116</v>
      </c>
    </row>
  </sheetData>
  <conditionalFormatting sqref="B8:H14">
    <cfRule type="cellIs" priority="2" operator="greaterThanOrEqual" aboveAverage="0" equalAverage="0" bottom="0" percent="0" rank="0" text="" dxfId="0">
      <formula>Inputs!$B$25</formula>
    </cfRule>
    <cfRule type="cellIs" priority="3" operator="lessThan" aboveAverage="0" equalAverage="0" bottom="0" percent="0" rank="0" text="" dxfId="1">
      <formula>Inputs!$B$25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0" t="s">
        <v>119</v>
      </c>
      <c r="B4" s="11" t="n">
        <f aca="false">Inputs!$B$18*Inputs!$B$19</f>
        <v>300000</v>
      </c>
      <c r="C4" s="2" t="s">
        <v>120</v>
      </c>
    </row>
    <row r="5" customFormat="false" ht="15" hidden="false" customHeight="false" outlineLevel="0" collapsed="false">
      <c r="A5" s="0" t="s">
        <v>121</v>
      </c>
      <c r="B5" s="12" t="n">
        <f aca="false">B4/Cycle_Economics!$B$6</f>
        <v>25000</v>
      </c>
      <c r="C5" s="2" t="s">
        <v>122</v>
      </c>
    </row>
    <row r="6" customFormat="false" ht="15" hidden="false" customHeight="false" outlineLevel="0" collapsed="false">
      <c r="A6" s="0" t="s">
        <v>123</v>
      </c>
      <c r="B6" s="12" t="n">
        <f aca="false">B5</f>
        <v>25000</v>
      </c>
      <c r="C6" s="2" t="s">
        <v>124</v>
      </c>
    </row>
    <row r="7" customFormat="false" ht="15" hidden="false" customHeight="false" outlineLevel="0" collapsed="false">
      <c r="A7" s="0" t="s">
        <v>125</v>
      </c>
      <c r="B7" s="11" t="n">
        <f aca="false">B6*Inputs!$B$20</f>
        <v>62500</v>
      </c>
      <c r="C7" s="2" t="s">
        <v>126</v>
      </c>
    </row>
    <row r="8" customFormat="false" ht="15" hidden="false" customHeight="false" outlineLevel="0" collapsed="false">
      <c r="A8" s="0" t="s">
        <v>127</v>
      </c>
      <c r="B8" s="12" t="n">
        <f aca="false">ROUNDUP(B7/Cycle_Economics!$B$11,0)</f>
        <v>6</v>
      </c>
      <c r="C8" s="2" t="s">
        <v>128</v>
      </c>
    </row>
    <row r="9" customFormat="false" ht="15" hidden="false" customHeight="false" outlineLevel="0" collapsed="false">
      <c r="A9" s="0" t="s">
        <v>129</v>
      </c>
      <c r="B9" s="11" t="n">
        <f aca="false">Inputs!$B$24</f>
        <v>6</v>
      </c>
      <c r="C9" s="2" t="s">
        <v>130</v>
      </c>
    </row>
    <row r="10" customFormat="false" ht="15" hidden="false" customHeight="false" outlineLevel="0" collapsed="false">
      <c r="A10" s="14" t="s">
        <v>131</v>
      </c>
      <c r="B10" s="23" t="str">
        <f aca="false">IF(Inputs!$B$24&gt;=B8,"OK - spike absorbed","TOO FEW - pixels blow past cap")</f>
        <v>OK - spike absorbed</v>
      </c>
      <c r="C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3" t="s">
        <v>133</v>
      </c>
      <c r="B3" s="4"/>
      <c r="C3" s="4"/>
    </row>
    <row r="4" customFormat="false" ht="15" hidden="false" customHeight="false" outlineLevel="0" collapsed="false">
      <c r="A4" s="0" t="s">
        <v>134</v>
      </c>
      <c r="B4" s="11" t="n">
        <f aca="false">Cycle_Economics!$B$6</f>
        <v>12</v>
      </c>
      <c r="C4" s="2" t="s">
        <v>135</v>
      </c>
    </row>
    <row r="5" customFormat="false" ht="15" hidden="false" customHeight="false" outlineLevel="0" collapsed="false">
      <c r="A5" s="0" t="s">
        <v>136</v>
      </c>
      <c r="B5" s="13" t="n">
        <f aca="false">Cycle_Economics!$B$8</f>
        <v>12.285</v>
      </c>
      <c r="C5" s="2" t="s">
        <v>137</v>
      </c>
    </row>
    <row r="6" customFormat="false" ht="15" hidden="false" customHeight="false" outlineLevel="0" collapsed="false">
      <c r="A6" s="0" t="s">
        <v>138</v>
      </c>
      <c r="B6" s="13" t="n">
        <f aca="false">Cycle_Economics!$B$9</f>
        <v>1.02375</v>
      </c>
      <c r="C6" s="2" t="s">
        <v>139</v>
      </c>
    </row>
    <row r="7" customFormat="false" ht="15" hidden="false" customHeight="false" outlineLevel="0" collapsed="false">
      <c r="A7" s="0" t="s">
        <v>140</v>
      </c>
      <c r="B7" s="11" t="n">
        <f aca="false">Halving_Bottleneck!B7</f>
        <v>178.233189328393</v>
      </c>
      <c r="C7" s="2" t="s">
        <v>141</v>
      </c>
    </row>
    <row r="8" customFormat="false" ht="15" hidden="false" customHeight="false" outlineLevel="0" collapsed="false">
      <c r="A8" s="0" t="s">
        <v>142</v>
      </c>
      <c r="B8" s="18" t="n">
        <f aca="false">Halving_Bottleneck!$B$11</f>
        <v>1230.33903408397</v>
      </c>
      <c r="C8" s="2" t="s">
        <v>143</v>
      </c>
    </row>
    <row r="9" customFormat="false" ht="15" hidden="false" customHeight="false" outlineLevel="0" collapsed="false">
      <c r="A9" s="0" t="s">
        <v>144</v>
      </c>
      <c r="B9" s="11" t="n">
        <f aca="false">Launch_Spike!$B$8</f>
        <v>6</v>
      </c>
      <c r="C9" s="2" t="s">
        <v>145</v>
      </c>
    </row>
    <row r="10" customFormat="false" ht="15" hidden="false" customHeight="false" outlineLevel="0" collapsed="false">
      <c r="A10" s="0" t="s">
        <v>57</v>
      </c>
      <c r="B10" s="18" t="n">
        <f aca="false">Inputs!$B$25</f>
        <v>15000</v>
      </c>
      <c r="C10" s="2"/>
    </row>
    <row r="12" customFormat="false" ht="15" hidden="false" customHeight="false" outlineLevel="0" collapsed="false">
      <c r="A12" s="3" t="s">
        <v>146</v>
      </c>
      <c r="B12" s="4"/>
      <c r="C12" s="4"/>
    </row>
    <row r="13" customFormat="false" ht="15" hidden="false" customHeight="false" outlineLevel="0" collapsed="false">
      <c r="A13" s="14" t="s">
        <v>147</v>
      </c>
      <c r="B13" s="24" t="s">
        <v>148</v>
      </c>
      <c r="C13" s="2" t="s">
        <v>149</v>
      </c>
    </row>
    <row r="14" customFormat="false" ht="15" hidden="false" customHeight="false" outlineLevel="0" collapsed="false">
      <c r="A14" s="14" t="s">
        <v>150</v>
      </c>
      <c r="B14" s="24" t="s">
        <v>151</v>
      </c>
      <c r="C14" s="2" t="s">
        <v>152</v>
      </c>
    </row>
    <row r="15" customFormat="false" ht="15" hidden="false" customHeight="false" outlineLevel="0" collapsed="false">
      <c r="A15" s="14" t="s">
        <v>153</v>
      </c>
      <c r="B15" s="24" t="s">
        <v>154</v>
      </c>
      <c r="C15" s="2" t="s">
        <v>155</v>
      </c>
    </row>
    <row r="16" customFormat="false" ht="15" hidden="false" customHeight="false" outlineLevel="0" collapsed="false">
      <c r="A16" s="14" t="s">
        <v>156</v>
      </c>
      <c r="B16" s="24" t="s">
        <v>157</v>
      </c>
      <c r="C16" s="2" t="s">
        <v>158</v>
      </c>
    </row>
    <row r="17" customFormat="false" ht="15" hidden="false" customHeight="false" outlineLevel="0" collapsed="false">
      <c r="A17" s="14" t="s">
        <v>159</v>
      </c>
      <c r="B17" s="24" t="s">
        <v>160</v>
      </c>
      <c r="C17" s="2" t="s">
        <v>161</v>
      </c>
    </row>
    <row r="18" customFormat="false" ht="15" hidden="false" customHeight="false" outlineLevel="0" collapsed="false">
      <c r="A18" s="14" t="s">
        <v>162</v>
      </c>
      <c r="B18" s="24" t="s">
        <v>163</v>
      </c>
      <c r="C18" s="2" t="s">
        <v>164</v>
      </c>
    </row>
    <row r="19" customFormat="false" ht="15" hidden="false" customHeight="false" outlineLevel="0" collapsed="false">
      <c r="A19" s="14" t="s">
        <v>165</v>
      </c>
      <c r="B19" s="24" t="s">
        <v>166</v>
      </c>
      <c r="C19" s="2" t="s">
        <v>167</v>
      </c>
    </row>
    <row r="20" customFormat="false" ht="15" hidden="false" customHeight="false" outlineLevel="0" collapsed="false">
      <c r="A20" s="14" t="s">
        <v>168</v>
      </c>
      <c r="B20" s="24" t="s">
        <v>169</v>
      </c>
      <c r="C20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2026-05-19T10:43:55Z</dcterms:created>
  <dc:creator>openpyxl</dc:creator>
  <dc:description/>
  <dc:language>en-US</dc:language>
  <cp:lastModifiedBy/>
  <dcterms:modified xsi:type="dcterms:W3CDTF">2026-05-19T10:43:55Z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